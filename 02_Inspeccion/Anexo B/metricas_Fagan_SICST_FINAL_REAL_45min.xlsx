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a85c83afc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996e290b7b24605"/>
    <x:sheet xmlns:r="http://schemas.openxmlformats.org/officeDocument/2006/relationships" name="Distribucion_tipo" sheetId="2" r:id="R29727692a6c149eb"/>
    <x:sheet xmlns:r="http://schemas.openxmlformats.org/officeDocument/2006/relationships" name="Severidad" sheetId="3" r:id="Re0354ab2b3414936"/>
    <x:sheet xmlns:r="http://schemas.openxmlformats.org/officeDocument/2006/relationships" name="Deteccion" sheetId="4" r:id="R9802a2e0520d480a"/>
    <x:sheet xmlns:r="http://schemas.openxmlformats.org/officeDocument/2006/relationships" name="Densidad" sheetId="5" r:id="Rdfcf5e3c4df3400f"/>
    <x:sheet xmlns:r="http://schemas.openxmlformats.org/officeDocument/2006/relationships" name="Esfuerzo" sheetId="6" r:id="R364da6dee7ad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%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6B3A"/>
      <x:name val="Carlito"/>
    </x:font>
    <x:font>
      <x:b/>
      <x:sz val="11"/>
      <x:color rgb="FFFFFFFF"/>
      <x:name val="Carlito"/>
    </x:font>
    <x:font>
      <x:sz val="11"/>
      <x:color rgb="FF7A5200"/>
      <x:name val="Carlito"/>
    </x:font>
    <x:font>
      <x:b/>
      <x:sz val="11"/>
      <x:color rgb="FF7A5200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6B3A"/>
      </x:patternFill>
    </x:fill>
    <x:fill>
      <x:patternFill patternType="solid">
        <x:fgColor rgb="FFEAF4EE"/>
      </x:patternFill>
    </x:fill>
    <x:fill>
      <x:patternFill patternType="solid">
        <x:fgColor rgb="FFD6A300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FFF3CD"/>
      </x:patternFill>
    </x:fill>
    <x:fill>
      <x:patternFill patternType="solid">
        <x:fgColor rgb="FFEAF4EE"/>
      </x:patternFill>
    </x:fill>
  </x:fills>
  <x:borders count="32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2" borderId="8" xfId="0" applyNumberFormat="1" applyFont="1" applyFill="1" applyBorder="1" applyAlignment="1">
      <x:alignment horizontal="center"/>
    </x:xf>
    <x:xf numFmtId="0" fontId="3" fillId="2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16" xfId="0" applyNumberFormat="1" applyFont="1" applyFill="1" applyBorder="1"/>
    <x:xf numFmtId="201" fontId="0" fillId="0" borderId="7" xfId="0" applyNumberFormat="1" applyFont="1" applyFill="1" applyBorder="1"/>
    <x:xf numFmtId="0" fontId="3" fillId="2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9" xfId="0" applyNumberFormat="1" applyFont="1" applyFill="1" applyBorder="1"/>
    <x:xf numFmtId="201" fontId="0" fillId="0" borderId="13" xfId="0" applyNumberFormat="1" applyFont="1" applyFill="1" applyBorder="1"/>
    <x:xf numFmtId="200" fontId="0" fillId="0" borderId="7" xfId="0" applyNumberFormat="1" applyFont="1" applyFill="1" applyBorder="1"/>
    <x:xf numFmtId="200" fontId="0" fillId="0" borderId="13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2" fillId="3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2" fillId="3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2" fillId="3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2" fillId="3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2" fillId="3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17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1" fontId="0" fillId="3" borderId="0" xfId="0" applyNumberFormat="1" applyFont="1" applyFill="1" applyBorder="1"/>
    <x:xf numFmtId="0" fontId="6" fillId="3" borderId="0" xfId="0" applyNumberFormat="1" applyFont="1" applyFill="1" applyBorder="1"/>
    <x:xf numFmtId="201" fontId="6" fillId="3" borderId="0" xfId="0" applyNumberFormat="1" applyFont="1" applyFill="1" applyBorder="1"/>
    <x:xf numFmtId="201" fontId="0" fillId="3" borderId="1" xfId="0" applyNumberFormat="1" applyFont="1" applyFill="1" applyBorder="1"/>
    <x:xf numFmtId="0" fontId="6" fillId="3" borderId="1" xfId="0" applyNumberFormat="1" applyFont="1" applyFill="1" applyBorder="1"/>
    <x:xf numFmtId="201" fontId="6" fillId="3" borderId="1" xfId="0" applyNumberFormat="1" applyFont="1" applyFill="1" applyBorder="1"/>
    <x:xf numFmtId="0" fontId="6" fillId="3" borderId="6" xfId="0" applyNumberFormat="1" applyFont="1" applyFill="1" applyBorder="1"/>
    <x:xf numFmtId="0" fontId="6" fillId="3" borderId="16" xfId="0" applyNumberFormat="1" applyFont="1" applyFill="1" applyBorder="1"/>
    <x:xf numFmtId="201" fontId="6" fillId="3" borderId="7" xfId="0" applyNumberFormat="1" applyFont="1" applyFill="1" applyBorder="1"/>
    <x:xf numFmtId="0" fontId="6" fillId="3" borderId="12" xfId="0" applyNumberFormat="1" applyFont="1" applyFill="1" applyBorder="1"/>
    <x:xf numFmtId="0" fontId="6" fillId="3" borderId="19" xfId="0" applyNumberFormat="1" applyFont="1" applyFill="1" applyBorder="1"/>
    <x:xf numFmtId="201" fontId="6" fillId="3" borderId="13" xfId="0" applyNumberFormat="1" applyFont="1" applyFill="1" applyBorder="1"/>
    <x:xf numFmtId="200" fontId="0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3" borderId="1" xfId="0" applyNumberFormat="1" applyFont="1" applyFill="1" applyBorder="1"/>
    <x:xf numFmtId="200" fontId="6" fillId="3" borderId="1" xfId="0" applyNumberFormat="1" applyFont="1" applyFill="1" applyBorder="1"/>
    <x:xf numFmtId="200" fontId="0" fillId="5" borderId="0" xfId="0" applyNumberFormat="1" applyFont="1" applyFill="1" applyBorder="1"/>
    <x:xf numFmtId="200" fontId="5" fillId="5" borderId="0" xfId="0" applyNumberFormat="1" applyFont="1" applyFill="1" applyBorder="1"/>
    <x:xf numFmtId="200" fontId="0" fillId="5" borderId="1" xfId="0" applyNumberFormat="1" applyFont="1" applyFill="1" applyBorder="1"/>
    <x:xf numFmtId="200" fontId="5" fillId="5" borderId="1" xfId="0" applyNumberFormat="1" applyFont="1" applyFill="1" applyBorder="1"/>
    <x:xf numFmtId="0" fontId="3" fillId="4" borderId="14" xfId="0" applyNumberFormat="1" applyFont="1" applyFill="1" applyBorder="1" applyAlignment="1">
      <x:alignment horizontal="center"/>
    </x:xf>
    <x:xf numFmtId="0" fontId="6" fillId="3" borderId="4" xfId="0" applyNumberFormat="1" applyFont="1" applyFill="1" applyBorder="1"/>
    <x:xf numFmtId="0" fontId="6" fillId="3" borderId="15" xfId="0" applyNumberFormat="1" applyFont="1" applyFill="1" applyBorder="1"/>
    <x:xf numFmtId="200" fontId="6" fillId="3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16" xfId="0" applyNumberFormat="1" applyFont="1" applyFill="1" applyBorder="1"/>
    <x:xf numFmtId="200" fontId="5" fillId="5" borderId="7" xfId="0" applyNumberFormat="1" applyFont="1" applyFill="1" applyBorder="1"/>
    <x:xf numFmtId="0" fontId="3" fillId="4" borderId="17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/>
    <x:xf numFmtId="0" fontId="6" fillId="3" borderId="18" xfId="0" applyNumberFormat="1" applyFont="1" applyFill="1" applyBorder="1"/>
    <x:xf numFmtId="200" fontId="6" fillId="3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9" xfId="0" applyNumberFormat="1" applyFont="1" applyFill="1" applyBorder="1"/>
    <x:xf numFmtId="200" fontId="5" fillId="5" borderId="13" xfId="0" applyNumberFormat="1" applyFont="1" applyFill="1" applyBorder="1"/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a868391f14a4c" /><Relationship Type="http://schemas.openxmlformats.org/officeDocument/2006/relationships/theme" Target="/xl/theme/theme1.xml" Id="R2af759dabec54df3" /><Relationship Type="http://schemas.openxmlformats.org/officeDocument/2006/relationships/sharedStrings" Target="/xl/sharedStrings.xml" Id="Rd30142c1b1384107" /><Relationship Type="http://schemas.openxmlformats.org/officeDocument/2006/relationships/worksheet" Target="/xl/worksheets/sheet1.xml" Id="R6996e290b7b24605" /><Relationship Type="http://schemas.openxmlformats.org/officeDocument/2006/relationships/worksheet" Target="/xl/worksheets/sheet2.xml" Id="R29727692a6c149eb" /><Relationship Type="http://schemas.openxmlformats.org/officeDocument/2006/relationships/worksheet" Target="/xl/worksheets/sheet3.xml" Id="Re0354ab2b3414936" /><Relationship Type="http://schemas.openxmlformats.org/officeDocument/2006/relationships/worksheet" Target="/xl/worksheets/sheet4.xml" Id="R9802a2e0520d480a" /><Relationship Type="http://schemas.openxmlformats.org/officeDocument/2006/relationships/worksheet" Target="/xl/worksheets/sheet5.xml" Id="Rdfcf5e3c4df3400f" /><Relationship Type="http://schemas.openxmlformats.org/officeDocument/2006/relationships/worksheet" Target="/xl/worksheets/sheet6.xml" Id="R364da6dee7ad44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49416c40814c0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c1b7fb7ad4f436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7a377ebe06f4f3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911097faef08467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f709eb37b6342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de defectos por tipo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'Distribucion_tipo'!$A$2:$A$7</c:f>
              <c:strCache>
                <c:ptCount val="0"/>
              </c:strCache>
            </c:strRef>
          </c:cat>
          <c:val>
            <c:numRef>
              <c:f>'Distribucion_tipo'!$B$2:$B$7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por severidad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'Severidad'!$A$2:$A$4</c:f>
              <c:strCache>
                <c:ptCount val="0"/>
              </c:strCache>
            </c:strRef>
          </c:cat>
          <c:val>
            <c:numRef>
              <c:f>'Severidad'!$B$2:$B$4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Aporte de defectos por inspector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DEFECTOS ÚNICOS APORTADOS</c:v>
          </c:tx>
          <c:cat>
            <c:strRef>
              <c:f>'Deteccion'!$A$2:$A$3</c:f>
              <c:strCache>
                <c:ptCount val="0"/>
              </c:strCache>
            </c:strRef>
          </c:cat>
          <c:val>
            <c:numRef>
              <c:f>'Deteccion'!$B$2:$B$3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Densidad de defectos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'Densidad'!$D$2</c:f>
              <c:strCache>
                <c:ptCount val="0"/>
              </c:strCache>
            </c:strRef>
          </c:cat>
          <c:val>
            <c:numRef>
              <c:f>'Densidad'!$E$2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Esfuerzo por actividad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MINUTOS-PERSONA</c:v>
          </c:tx>
          <c:cat>
            <c:strRef>
              <c:f>'Esfuerzo'!$A$2:$A$7</c:f>
              <c:strCache>
                <c:ptCount val="0"/>
              </c:strCache>
            </c:strRef>
          </c:cat>
          <c:val>
            <c:numRef>
              <c:f>'Esfuerzo'!$B$2:$B$7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49416c40814c0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1b7fb7ad4f436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a377ebe06f4f3d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1097faef08467f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709eb37b6342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7fb3fef384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2eb4fab458a41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aead62191fca43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e664e07fe33c4d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4912ff9256274cd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16" hidden="0" customWidth="1"/>
    <x:col min="4" max="4" width="2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</x:cols>
  <x:sheetData>
    <x:row r="1">
      <x:c r="A1" s="96" t="str">
        <x:v>MÉTRICAS DE INSPECCIÓN FAGAN - SICST</x:v>
      </x:c>
      <x:c r="B1" s="96"/>
      <x:c r="C1" s="96"/>
      <x:c r="D1" s="96"/>
      <x:c r="E1" s="96"/>
      <x:c r="F1" s="96"/>
      <x:c r="G1" s="96"/>
      <x:c r="H1" s="96"/>
    </x:row>
    <x:row r="2">
      <x:c r="A2" s="97" t="str">
        <x:v>Resultados de la inspección: 16 defectos únicos en 18 páginas efectivamente inspeccionadas.</x:v>
      </x:c>
      <x:c r="B2" s="97"/>
      <x:c r="C2" s="97"/>
      <x:c r="D2" s="97"/>
      <x:c r="E2" s="97"/>
      <x:c r="F2" s="97"/>
      <x:c r="G2" s="97"/>
      <x:c r="H2" s="97"/>
    </x:row>
    <x:row r="3">
      <x:c r="A3" s="77"/>
      <x:c r="B3" s="77"/>
      <x:c r="C3" s="77"/>
      <x:c r="D3" s="77"/>
      <x:c r="E3" s="77"/>
      <x:c r="F3" s="77"/>
      <x:c r="G3" s="77"/>
      <x:c r="H3" s="77"/>
    </x:row>
    <x:row r="4">
      <x:c r="A4" s="98" t="str">
        <x:v>DATOS BASE</x:v>
      </x:c>
      <x:c r="B4" s="99" t="str">
        <x:v>VALOR</x:v>
      </x:c>
      <x:c r="C4" s="77"/>
      <x:c r="D4" s="100" t="str">
        <x:v>ESFUERZO EN HORAS-PERSONA</x:v>
      </x:c>
      <x:c r="E4" s="101" t="str">
        <x:v>MINUTOS</x:v>
      </x:c>
      <x:c r="F4" s="77"/>
      <x:c r="G4" s="77"/>
      <x:c r="H4" s="77"/>
    </x:row>
    <x:row r="5">
      <x:c r="A5" s="102" t="str">
        <x:v>Defectos únicos</x:v>
      </x:c>
      <x:c r="B5" s="103" t="n">
        <x:v>16</x:v>
      </x:c>
      <x:c r="C5" s="77"/>
      <x:c r="D5" s="102" t="str">
        <x:v>Preparación Anderson</x:v>
      </x:c>
      <x:c r="E5" s="103" t="n">
        <x:v>25</x:v>
      </x:c>
      <x:c r="F5" s="77"/>
      <x:c r="G5" s="77"/>
      <x:c r="H5" s="77"/>
    </x:row>
    <x:row r="6">
      <x:c r="A6" s="102" t="str">
        <x:v>Páginas efectivas inspeccionadas</x:v>
      </x:c>
      <x:c r="B6" s="103" t="n">
        <x:v>18</x:v>
      </x:c>
      <x:c r="C6" s="77"/>
      <x:c r="D6" s="102" t="str">
        <x:v>Preparación Frixon</x:v>
      </x:c>
      <x:c r="E6" s="103" t="n">
        <x:v>30</x:v>
      </x:c>
      <x:c r="F6" s="77"/>
      <x:c r="G6" s="77"/>
      <x:c r="H6" s="77"/>
    </x:row>
    <x:row r="7">
      <x:c r="A7" s="102" t="str">
        <x:v>Defectos críticos</x:v>
      </x:c>
      <x:c r="B7" s="103" t="n">
        <x:v>0</x:v>
      </x:c>
      <x:c r="C7" s="77"/>
      <x:c r="D7" s="102" t="str">
        <x:v>Reunión Angelo</x:v>
      </x:c>
      <x:c r="E7" s="103" t="n">
        <x:v>28</x:v>
      </x:c>
      <x:c r="F7" s="77"/>
      <x:c r="G7" s="77"/>
      <x:c r="H7" s="77"/>
    </x:row>
    <x:row r="8">
      <x:c r="A8" s="102" t="str">
        <x:v>Defectos mayores</x:v>
      </x:c>
      <x:c r="B8" s="103" t="n">
        <x:v>12</x:v>
      </x:c>
      <x:c r="C8" s="77"/>
      <x:c r="D8" s="102" t="str">
        <x:v>Reunión Anderson</x:v>
      </x:c>
      <x:c r="E8" s="103" t="n">
        <x:v>28</x:v>
      </x:c>
      <x:c r="F8" s="77"/>
      <x:c r="G8" s="77"/>
      <x:c r="H8" s="77"/>
    </x:row>
    <x:row r="9">
      <x:c r="A9" s="102" t="str">
        <x:v>Defectos menores</x:v>
      </x:c>
      <x:c r="B9" s="103" t="n">
        <x:v>4</x:v>
      </x:c>
      <x:c r="C9" s="77"/>
      <x:c r="D9" s="102" t="str">
        <x:v>Reunión Frixon</x:v>
      </x:c>
      <x:c r="E9" s="103" t="n">
        <x:v>28</x:v>
      </x:c>
      <x:c r="F9" s="77"/>
      <x:c r="G9" s="77"/>
      <x:c r="H9" s="77"/>
    </x:row>
    <x:row r="10">
      <x:c r="A10" s="102" t="str">
        <x:v>Defectos aportados por Anderson</x:v>
      </x:c>
      <x:c r="B10" s="103" t="n">
        <x:v>8</x:v>
      </x:c>
      <x:c r="C10" s="77"/>
      <x:c r="D10" s="104" t="str">
        <x:v>Corrección Angelo</x:v>
      </x:c>
      <x:c r="E10" s="105" t="n">
        <x:v>45</x:v>
      </x:c>
      <x:c r="F10" s="77"/>
      <x:c r="G10" s="77"/>
      <x:c r="H10" s="77"/>
    </x:row>
    <x:row r="11">
      <x:c r="A11" s="102" t="str">
        <x:v>Defectos aportados por Frixon</x:v>
      </x:c>
      <x:c r="B11" s="103" t="n">
        <x:v>8</x:v>
      </x:c>
      <x:c r="C11" s="77"/>
      <x:c r="D11" s="104" t="str">
        <x:v>Corrección Anderson</x:v>
      </x:c>
      <x:c r="E11" s="105" t="n">
        <x:v>0</x:v>
      </x:c>
      <x:c r="F11" s="77"/>
      <x:c r="G11" s="77"/>
      <x:c r="H11" s="77"/>
    </x:row>
    <x:row r="12">
      <x:c r="A12" s="102" t="str">
        <x:v>Duración reunión (min)</x:v>
      </x:c>
      <x:c r="B12" s="103" t="n">
        <x:v>28</x:v>
      </x:c>
      <x:c r="C12" s="77"/>
      <x:c r="D12" s="106" t="str">
        <x:v>Corrección Frixon</x:v>
      </x:c>
      <x:c r="E12" s="107" t="n">
        <x:v>0</x:v>
      </x:c>
      <x:c r="F12" s="77"/>
      <x:c r="G12" s="77"/>
      <x:c r="H12" s="77"/>
    </x:row>
    <x:row r="13">
      <x:c r="A13" s="108" t="str">
        <x:v>Participantes en reunión</x:v>
      </x:c>
      <x:c r="B13" s="109" t="n">
        <x:v>3</x:v>
      </x:c>
      <x:c r="C13" s="77"/>
      <x:c r="D13" s="55" t="str">
        <x:v>Tiempo real de corrección y revisión del ERS por Angelo: 45 minutos.</x:v>
      </x:c>
      <x:c r="E13" s="55" t="str">
        <x:v>Tiempo real de corrección y revisión del ERS por Angelo: 45 minutos.</x:v>
      </x:c>
      <x:c r="F13" s="77"/>
      <x:c r="G13" s="77"/>
      <x:c r="H13" s="77"/>
    </x:row>
    <x:row r="14">
      <x:c r="A14" s="77"/>
      <x:c r="B14" s="77"/>
      <x:c r="C14" s="77"/>
      <x:c r="D14" s="77"/>
      <x:c r="E14" s="77"/>
      <x:c r="F14" s="77"/>
      <x:c r="G14" s="77"/>
      <x:c r="H14" s="77"/>
    </x:row>
    <x:row r="15">
      <x:c r="A15" s="98" t="str">
        <x:v>MÉTRICA</x:v>
      </x:c>
      <x:c r="B15" s="110" t="str">
        <x:v>CÁLCULO</x:v>
      </x:c>
      <x:c r="C15" s="99" t="str">
        <x:v>RESULTADO</x:v>
      </x:c>
      <x:c r="D15" s="77"/>
      <x:c r="E15" s="100" t="str">
        <x:v>ESFUERZO</x:v>
      </x:c>
      <x:c r="F15" s="101" t="str">
        <x:v>RESULTADO</x:v>
      </x:c>
      <x:c r="G15" s="77"/>
      <x:c r="H15" s="77"/>
    </x:row>
    <x:row r="16">
      <x:c r="A16" s="102" t="str">
        <x:v>Densidad de defectos</x:v>
      </x:c>
      <x:c r="B16" s="111" t="str">
        <x:v>Defectos únicos / páginas</x:v>
      </x:c>
      <x:c r="C16" s="112" t="n">
        <x:f>B5/B6</x:f>
        <x:v>0.8888888888888888</x:v>
      </x:c>
      <x:c r="D16" s="77"/>
      <x:c r="E16" s="102" t="str">
        <x:v>Preparación inspectores (min)</x:v>
      </x:c>
      <x:c r="F16" s="103" t="n">
        <x:f>E5+E6</x:f>
        <x:v>55</x:v>
      </x:c>
      <x:c r="G16" s="77"/>
      <x:c r="H16" s="77"/>
    </x:row>
    <x:row r="17">
      <x:c r="A17" s="102" t="str">
        <x:v>% defectos mayores</x:v>
      </x:c>
      <x:c r="B17" s="111" t="str">
        <x:v>Mayores / total</x:v>
      </x:c>
      <x:c r="C17" s="113" t="n">
        <x:f>B8/B5</x:f>
        <x:v>0.75</x:v>
      </x:c>
      <x:c r="D17" s="77"/>
      <x:c r="E17" s="102" t="str">
        <x:v>Reunión equipo (min-persona)</x:v>
      </x:c>
      <x:c r="F17" s="103" t="n">
        <x:f>SUM(E7:E9)</x:f>
        <x:v>84</x:v>
      </x:c>
      <x:c r="G17" s="77"/>
      <x:c r="H17" s="77"/>
    </x:row>
    <x:row r="18">
      <x:c r="A18" s="102" t="str">
        <x:v>% defectos menores</x:v>
      </x:c>
      <x:c r="B18" s="111" t="str">
        <x:v>Menores / total</x:v>
      </x:c>
      <x:c r="C18" s="113" t="n">
        <x:f>B9/B5</x:f>
        <x:v>0.25</x:v>
      </x:c>
      <x:c r="D18" s="77"/>
      <x:c r="E18" s="102" t="str">
        <x:v>Esfuerzo acumulado actual (min-persona)</x:v>
      </x:c>
      <x:c r="F18" s="103" t="n">
        <x:f>SUM(E5:E12)</x:f>
        <x:v>184</x:v>
      </x:c>
      <x:c r="G18" s="77"/>
      <x:c r="H18" s="77"/>
    </x:row>
    <x:row r="19">
      <x:c r="A19" s="102" t="str">
        <x:v>Tasa detección Anderson</x:v>
      </x:c>
      <x:c r="B19" s="111" t="str">
        <x:v>Aporte Anderson / total</x:v>
      </x:c>
      <x:c r="C19" s="113" t="n">
        <x:f>B10/B5</x:f>
        <x:v>0.5</x:v>
      </x:c>
      <x:c r="D19" s="77"/>
      <x:c r="E19" s="108" t="str">
        <x:v>Esfuerzo acumulado actual (h-persona)</x:v>
      </x:c>
      <x:c r="F19" s="114" t="n">
        <x:f>F18/60</x:f>
        <x:v>3.066666666666667</x:v>
      </x:c>
      <x:c r="G19" s="77"/>
      <x:c r="H19" s="77"/>
    </x:row>
    <x:row r="20">
      <x:c r="A20" s="108" t="str">
        <x:v>Tasa detección Frixon</x:v>
      </x:c>
      <x:c r="B20" s="115" t="str">
        <x:v>Aporte Frixon / total</x:v>
      </x:c>
      <x:c r="C20" s="116" t="n">
        <x:f>B11/B5</x:f>
        <x:v>0.5</x:v>
      </x:c>
      <x:c r="D20" s="77"/>
      <x:c r="E20" s="77"/>
      <x:c r="F20" s="77"/>
      <x:c r="G20" s="77"/>
      <x:c r="H20" s="77"/>
    </x:row>
    <x:row r="21">
      <x:c r="A21" s="77"/>
      <x:c r="B21" s="77"/>
      <x:c r="C21" s="77"/>
      <x:c r="D21" s="77"/>
      <x:c r="E21" s="77"/>
      <x:c r="F21" s="77"/>
      <x:c r="G21" s="77"/>
      <x:c r="H21" s="77"/>
    </x:row>
    <x:row r="22">
      <x:c r="A22" s="117" t="str">
        <x:v>INTERPRETACIONES PARA EL INFORME</x:v>
      </x:c>
      <x:c r="B22" s="117"/>
      <x:c r="C22" s="117"/>
      <x:c r="D22" s="117"/>
      <x:c r="E22" s="117"/>
      <x:c r="F22" s="117"/>
      <x:c r="G22" s="117"/>
      <x:c r="H22" s="117"/>
    </x:row>
    <x:row r="23">
      <x:c r="A23" s="84" t="str">
        <x:v>Densidad</x:v>
      </x:c>
      <x:c r="B23" s="85" t="str">
        <x:v>Se identificaron 16 defectos en 18 páginas efectivamente inspeccionadas, lo que representa aproximadamente 0,89 defectos por página. El resultado muestra una concentración relevante de problemas en las secciones seleccionadas del ERS y justifica la etapa posterior de corrección.</x:v>
      </x:c>
      <x:c r="C23" s="77"/>
      <x:c r="D23" s="77"/>
      <x:c r="E23" s="77"/>
      <x:c r="F23" s="77"/>
      <x:c r="G23" s="77"/>
      <x:c r="H23" s="77"/>
    </x:row>
    <x:row r="24">
      <x:c r="A24" s="86" t="str">
        <x:v>Tipo</x:v>
      </x:c>
      <x:c r="B24" s="87" t="str">
        <x:v>La distribución por tipo muestra mayor presencia de defectos de consistencia y trazabilidad. Esto indica que el principal riesgo del ERS no se concentra solo en la redacción, sino también en la coherencia entre requisitos, prioridades, evidencias y casos de uso.</x:v>
      </x:c>
      <x:c r="C24" s="77"/>
      <x:c r="D24" s="77"/>
      <x:c r="E24" s="77"/>
      <x:c r="F24" s="77"/>
      <x:c r="G24" s="77"/>
      <x:c r="H24" s="77"/>
    </x:row>
    <x:row r="25">
      <x:c r="A25" s="86" t="str">
        <x:v>Severidad</x:v>
      </x:c>
      <x:c r="B25" s="87" t="str">
        <x:v>El 75 % de los defectos fue clasificado como Mayor y el 25 % como Menor; no se registraron defectos Críticos. Por tanto, la mayor parte de los hallazgos requiere corrección antes de establecer la siguiente versión del ERS.</x:v>
      </x:c>
      <x:c r="C25" s="77"/>
      <x:c r="D25" s="77"/>
      <x:c r="E25" s="77"/>
      <x:c r="F25" s="77"/>
      <x:c r="G25" s="77"/>
      <x:c r="H25" s="77"/>
    </x:row>
    <x:row r="26">
      <x:c r="A26" s="86" t="str">
        <x:v>Detección</x:v>
      </x:c>
      <x:c r="B26" s="87" t="str">
        <x:v>Anderson y Frixon aportaron 8 defectos únicos cada uno, equivalentes al 50 % del total por inspector. El aporte equilibrado evidencia que ambas revisiones individuales contribuyeron de forma similar al resultado consolidado.</x:v>
      </x:c>
      <x:c r="C26" s="77"/>
      <x:c r="D26" s="77"/>
      <x:c r="E26" s="77"/>
      <x:c r="F26" s="77"/>
      <x:c r="G26" s="77"/>
      <x:c r="H26" s="77"/>
    </x:row>
    <x:row r="27">
      <x:c r="A27" s="88" t="str">
        <x:v>Esfuerzo</x:v>
      </x:c>
      <x:c r="B27" s="89" t="str">
        <x:v>El esfuerzo total real registrado es de 184 minutos-persona, equivalentes a 3,07 horas-persona. Incluye 55 minutos de preparación individual, 84 minutos-persona de reunión y 45 minutos de corrección y revisión del ERS por Angelo.</x:v>
      </x:c>
      <x:c r="C27" s="77"/>
      <x:c r="D27" s="77"/>
      <x:c r="E27" s="77"/>
      <x:c r="F27" s="77"/>
      <x:c r="G27" s="77"/>
      <x:c r="H27" s="77"/>
    </x:row>
  </x:sheetData>
  <x:mergeCells>
    <x:mergeCell ref="A1:H1"/>
    <x:mergeCell ref="A2:H2"/>
    <x:mergeCell ref="D13:E13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</x:cols>
  <x:sheetData>
    <x:row r="1">
      <x:c r="A1" s="20" t="str">
        <x:v>TIPO DE DEFECTO</x:v>
      </x:c>
      <x:c r="B1" s="62" t="str">
        <x:v>CANTIDAD</x:v>
      </x:c>
      <x:c r="C1" s="21" t="str">
        <x:v>PORCENTAJE</x:v>
      </x:c>
    </x:row>
    <x:row r="2">
      <x:c r="A2" s="22" t="str">
        <x:v>Ambigüedad</x:v>
      </x:c>
      <x:c r="B2" s="63" t="n">
        <x:v>2</x:v>
      </x:c>
      <x:c r="C2" s="65" t="n">
        <x:f>B2/$B$8</x:f>
        <x:v>0.125</x:v>
      </x:c>
    </x:row>
    <x:row r="3">
      <x:c r="A3" s="22" t="str">
        <x:v>Completitud</x:v>
      </x:c>
      <x:c r="B3" s="63" t="n">
        <x:v>2</x:v>
      </x:c>
      <x:c r="C3" s="65" t="n">
        <x:f>B3/$B$8</x:f>
        <x:v>0.125</x:v>
      </x:c>
    </x:row>
    <x:row r="4">
      <x:c r="A4" s="22" t="str">
        <x:v>Consistencia</x:v>
      </x:c>
      <x:c r="B4" s="63" t="n">
        <x:v>4</x:v>
      </x:c>
      <x:c r="C4" s="65" t="n">
        <x:f>B4/$B$8</x:f>
        <x:v>0.25</x:v>
      </x:c>
    </x:row>
    <x:row r="5">
      <x:c r="A5" s="22" t="str">
        <x:v>Verificabilidad</x:v>
      </x:c>
      <x:c r="B5" s="63" t="n">
        <x:v>2</x:v>
      </x:c>
      <x:c r="C5" s="65" t="n">
        <x:f>B5/$B$8</x:f>
        <x:v>0.125</x:v>
      </x:c>
    </x:row>
    <x:row r="6">
      <x:c r="A6" s="22" t="str">
        <x:v>Trazabilidad</x:v>
      </x:c>
      <x:c r="B6" s="63" t="n">
        <x:v>4</x:v>
      </x:c>
      <x:c r="C6" s="65" t="n">
        <x:f>B6/$B$8</x:f>
        <x:v>0.25</x:v>
      </x:c>
    </x:row>
    <x:row r="7">
      <x:c r="A7" s="22" t="str">
        <x:v>Factibilidad</x:v>
      </x:c>
      <x:c r="B7" s="63" t="n">
        <x:v>2</x:v>
      </x:c>
      <x:c r="C7" s="65" t="n">
        <x:f>B7/$B$8</x:f>
        <x:v>0.125</x:v>
      </x:c>
    </x:row>
    <x:row r="8">
      <x:c r="A8" s="146" t="str">
        <x:v>TOTAL</x:v>
      </x:c>
      <x:c r="B8" s="147" t="n">
        <x:f>SUM(B2:B7)</x:f>
        <x:v>16</x:v>
      </x:c>
      <x:c r="C8" s="148" t="n">
        <x:f>SUM(C2:C7)</x:f>
        <x:v>1</x:v>
      </x:c>
    </x:row>
  </x:sheetData>
  <x:pageMargins left="0.7" right="0.7" top="0.75" bottom="0.75" header="0.3" footer="0.3"/>
  <x:drawing xmlns:r="http://schemas.openxmlformats.org/officeDocument/2006/relationships" r:id="Rec7fb3fef38448a8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SEVERIDAD</x:v>
      </x:c>
      <x:c r="B1" s="62" t="str">
        <x:v>CANTIDAD</x:v>
      </x:c>
      <x:c r="C1" s="21" t="str">
        <x:v>PORCENTAJE</x:v>
      </x:c>
    </x:row>
    <x:row r="2">
      <x:c r="A2" s="22" t="str">
        <x:v>Crítico</x:v>
      </x:c>
      <x:c r="B2" s="63" t="n">
        <x:v>0</x:v>
      </x:c>
      <x:c r="C2" s="65" t="n">
        <x:f>B2/$B$5</x:f>
        <x:v>0</x:v>
      </x:c>
    </x:row>
    <x:row r="3">
      <x:c r="A3" s="22" t="str">
        <x:v>Mayor</x:v>
      </x:c>
      <x:c r="B3" s="63" t="n">
        <x:v>12</x:v>
      </x:c>
      <x:c r="C3" s="65" t="n">
        <x:f>B3/$B$5</x:f>
        <x:v>0.75</x:v>
      </x:c>
    </x:row>
    <x:row r="4">
      <x:c r="A4" s="22" t="str">
        <x:v>Menor</x:v>
      </x:c>
      <x:c r="B4" s="63" t="n">
        <x:v>4</x:v>
      </x:c>
      <x:c r="C4" s="65" t="n">
        <x:f>B4/$B$5</x:f>
        <x:v>0.25</x:v>
      </x:c>
    </x:row>
    <x:row r="5">
      <x:c r="A5" s="146" t="str">
        <x:v>TOTAL</x:v>
      </x:c>
      <x:c r="B5" s="147" t="n">
        <x:f>SUM(B2:B4)</x:f>
        <x:v>16</x:v>
      </x:c>
      <x:c r="C5" s="148" t="n">
        <x:f>SUM(C2:C4)</x:f>
        <x:v>1</x:v>
      </x:c>
    </x:row>
  </x:sheetData>
  <x:pageMargins left="0.7" right="0.7" top="0.75" bottom="0.75" header="0.3" footer="0.3"/>
  <x:drawing xmlns:r="http://schemas.openxmlformats.org/officeDocument/2006/relationships" r:id="Re2eb4fab458a41c1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</x:cols>
  <x:sheetData>
    <x:row r="1">
      <x:c r="A1" s="20" t="str">
        <x:v>INSPECTOR</x:v>
      </x:c>
      <x:c r="B1" s="62" t="str">
        <x:v>DEFECTOS ÚNICOS APORTADOS</x:v>
      </x:c>
      <x:c r="C1" s="21" t="str">
        <x:v>TASA DE DETECCIÓN</x:v>
      </x:c>
    </x:row>
    <x:row r="2">
      <x:c r="A2" s="22" t="str">
        <x:v>Anderson</x:v>
      </x:c>
      <x:c r="B2" s="63" t="n">
        <x:v>8</x:v>
      </x:c>
      <x:c r="C2" s="65" t="n">
        <x:f>B2/$B$4</x:f>
        <x:v>0.5</x:v>
      </x:c>
    </x:row>
    <x:row r="3">
      <x:c r="A3" s="22" t="str">
        <x:v>Frixon</x:v>
      </x:c>
      <x:c r="B3" s="63" t="n">
        <x:v>8</x:v>
      </x:c>
      <x:c r="C3" s="65" t="n">
        <x:f>B3/$B$4</x:f>
        <x:v>0.5</x:v>
      </x:c>
    </x:row>
    <x:row r="4">
      <x:c r="A4" s="146" t="str">
        <x:v>TOTAL</x:v>
      </x:c>
      <x:c r="B4" s="147" t="n">
        <x:f>SUM(B2:B3)</x:f>
        <x:v>16</x:v>
      </x:c>
      <x:c r="C4" s="148" t="n">
        <x:f>SUM(C2:C3)</x:f>
        <x:v>1</x:v>
      </x:c>
    </x:row>
  </x:sheetData>
  <x:pageMargins left="0.7" right="0.7" top="0.75" bottom="0.75" header="0.3" footer="0.3"/>
  <x:drawing xmlns:r="http://schemas.openxmlformats.org/officeDocument/2006/relationships" r:id="Raead62191fca43a5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20" t="str">
        <x:v>CONCEPTO</x:v>
      </x:c>
      <x:c r="B1" s="21" t="str">
        <x:v>VALOR</x:v>
      </x:c>
      <x:c r="D1" t="str">
        <x:v>MÉTRICA</x:v>
      </x:c>
      <x:c r="E1" t="str">
        <x:v>VALOR</x:v>
      </x:c>
    </x:row>
    <x:row r="2">
      <x:c r="A2" s="22" t="str">
        <x:v>Defectos únicos</x:v>
      </x:c>
      <x:c r="B2" s="23" t="n">
        <x:v>16</x:v>
      </x:c>
      <x:c r="D2" t="str">
        <x:v>Defectos por página</x:v>
      </x:c>
      <x:c r="E2" t="n">
        <x:f>B4</x:f>
        <x:v>0.8888888888888888</x:v>
      </x:c>
    </x:row>
    <x:row r="3">
      <x:c r="A3" s="22" t="str">
        <x:v>Páginas inspeccionadas</x:v>
      </x:c>
      <x:c r="B3" s="23" t="n">
        <x:v>18</x:v>
      </x:c>
    </x:row>
    <x:row r="4">
      <x:c r="A4" s="22" t="str">
        <x:v>Densidad (defectos/página)</x:v>
      </x:c>
      <x:c r="B4" s="64" t="n">
        <x:f>B2/B3</x:f>
        <x:v>0.8888888888888888</x:v>
      </x:c>
    </x:row>
    <x:row r="5">
      <x:c r="A5" s="24" t="str">
        <x:v>Interpretación</x:v>
      </x:c>
      <x:c r="B5" s="109" t="str">
        <x:v>Se detectaron aproximadamente 0,89 defectos por cada página efectivamente inspeccionada.</x:v>
      </x:c>
    </x:row>
  </x:sheetData>
  <x:pageMargins left="0.7" right="0.7" top="0.75" bottom="0.75" header="0.3" footer="0.3"/>
  <x:drawing xmlns:r="http://schemas.openxmlformats.org/officeDocument/2006/relationships" r:id="Re664e07fe33c4d2b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>
      <x:c r="A1" s="42" t="str">
        <x:v>ACTIVIDAD</x:v>
      </x:c>
      <x:c r="B1" s="160" t="str">
        <x:v>MINUTOS-PERSONA</x:v>
      </x:c>
      <x:c r="C1" s="43" t="str">
        <x:v>HORAS-PERSONA</x:v>
      </x:c>
    </x:row>
    <x:row r="2">
      <x:c r="A2" s="22" t="str">
        <x:v>Preparación Anderson</x:v>
      </x:c>
      <x:c r="B2" s="63" t="n">
        <x:v>25</x:v>
      </x:c>
      <x:c r="C2" s="64" t="n">
        <x:f>B2/60</x:f>
        <x:v>0.4166666666666667</x:v>
      </x:c>
    </x:row>
    <x:row r="3">
      <x:c r="A3" s="22" t="str">
        <x:v>Preparación Frixon</x:v>
      </x:c>
      <x:c r="B3" s="63" t="n">
        <x:v>30</x:v>
      </x:c>
      <x:c r="C3" s="64" t="n">
        <x:f>B3/60</x:f>
        <x:v>0.5</x:v>
      </x:c>
    </x:row>
    <x:row r="4">
      <x:c r="A4" s="22" t="str">
        <x:v>Reunión Angelo</x:v>
      </x:c>
      <x:c r="B4" s="63" t="n">
        <x:v>28</x:v>
      </x:c>
      <x:c r="C4" s="64" t="n">
        <x:f>B4/60</x:f>
        <x:v>0.4666666666666667</x:v>
      </x:c>
    </x:row>
    <x:row r="5">
      <x:c r="A5" s="22" t="str">
        <x:v>Reunión Anderson</x:v>
      </x:c>
      <x:c r="B5" s="63" t="n">
        <x:v>28</x:v>
      </x:c>
      <x:c r="C5" s="64" t="n">
        <x:f>B5/60</x:f>
        <x:v>0.4666666666666667</x:v>
      </x:c>
    </x:row>
    <x:row r="6">
      <x:c r="A6" s="22" t="str">
        <x:v>Reunión Frixon</x:v>
      </x:c>
      <x:c r="B6" s="63" t="n">
        <x:v>28</x:v>
      </x:c>
      <x:c r="C6" s="64" t="n">
        <x:f>B6/60</x:f>
        <x:v>0.4666666666666667</x:v>
      </x:c>
    </x:row>
    <x:row r="7">
      <x:c r="A7" s="22" t="str">
        <x:v>Corrección Angelo</x:v>
      </x:c>
      <x:c r="B7" s="63" t="n">
        <x:v>45</x:v>
      </x:c>
      <x:c r="C7" s="64" t="n">
        <x:f>B7/60</x:f>
        <x:v>0.75</x:v>
      </x:c>
    </x:row>
    <x:row r="8">
      <x:c r="A8" s="161" t="str">
        <x:v>TOTAL ACTUAL</x:v>
      </x:c>
      <x:c r="B8" s="162" t="n">
        <x:f>SUM(B2:B7)</x:f>
        <x:v>184</x:v>
      </x:c>
      <x:c r="C8" s="163" t="n">
        <x:f>B8/60</x:f>
        <x:v>3.066666666666667</x:v>
      </x:c>
    </x:row>
    <x:row r="9">
      <x:c r="A9" s="164" t="str">
        <x:v>TOTAL FINAL</x:v>
      </x:c>
      <x:c r="B9" s="165" t="n">
        <x:f>B8</x:f>
        <x:v>184</x:v>
      </x:c>
      <x:c r="C9" s="166" t="n">
        <x:f>C8</x:f>
        <x:v>3.066666666666667</x:v>
      </x:c>
    </x:row>
    <x:row r="11">
      <x:c r="A11" s="182" t="str">
        <x:v>Esfuerzo final real: 184 minutos-persona = 3,07 horas-persona. Incluye preparación de Anderson (25 min), preparación de Frixon (30 min), reunión Fagan (28 min × 3 participantes = 84 min-persona) y corrección/revisión del ERS por Angelo (45 min).</x:v>
      </x:c>
      <x:c r="B11" s="182"/>
      <x:c r="C11" s="182"/>
    </x:row>
    <x:row r="12">
      <x:c r="A12" s="182"/>
      <x:c r="B12" s="182"/>
      <x:c r="C12" s="182"/>
    </x:row>
  </x:sheetData>
  <x:mergeCells>
    <x:mergeCell ref="A11:C12"/>
  </x:mergeCells>
  <x:pageMargins left="0.7" right="0.7" top="0.75" bottom="0.75" header="0.3" footer="0.3"/>
  <x:drawing xmlns:r="http://schemas.openxmlformats.org/officeDocument/2006/relationships" r:id="R4912ff9256274cd3"/>
</x:worksheet>
</file>