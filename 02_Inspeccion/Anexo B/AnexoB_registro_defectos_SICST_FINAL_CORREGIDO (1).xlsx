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834D93FD-C3F7-42B6-84E6-F882211EC2E0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Anexo 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K5" i="1"/>
  <c r="K4" i="1"/>
  <c r="K3" i="1"/>
  <c r="K7" i="1" s="1"/>
</calcChain>
</file>

<file path=xl/sharedStrings.xml><?xml version="1.0" encoding="utf-8"?>
<sst xmlns="http://schemas.openxmlformats.org/spreadsheetml/2006/main" count="146" uniqueCount="109">
  <si>
    <t>ANEXO B - REGISTRO DE DEFECTOS - INSPECCIÓN FAGAN</t>
  </si>
  <si>
    <t>Proyecto: Sistema Inteligente de Control y Seguimiento de Terapia Física (SICST) | Documento inspeccionado: ERS/SRS Entrega 3 (2A) - versión 2A-Final-v2</t>
  </si>
  <si>
    <t>CONTROL DE LA REUNIÓN</t>
  </si>
  <si>
    <t>VALOR</t>
  </si>
  <si>
    <t>Defectos únicos consolidados</t>
  </si>
  <si>
    <t>Críticos</t>
  </si>
  <si>
    <t>N.º</t>
  </si>
  <si>
    <t>Sección / página</t>
  </si>
  <si>
    <t>Requisito afectado</t>
  </si>
  <si>
    <t>Descripción del defecto</t>
  </si>
  <si>
    <t>Tipo</t>
  </si>
  <si>
    <t>Severidad</t>
  </si>
  <si>
    <t>Detectado por</t>
  </si>
  <si>
    <t>Corrección</t>
  </si>
  <si>
    <t>Mayores</t>
  </si>
  <si>
    <t>D-01</t>
  </si>
  <si>
    <t>3.2 Requisitos funcionales / p. 48</t>
  </si>
  <si>
    <t>RF-28</t>
  </si>
  <si>
    <t>RF-28 genera alertas por aumento de dolor, fatiga elevada, errores frecuentes o posible riesgo, pero no define umbrales concretos para decidir cuándo se activa cada alerta.</t>
  </si>
  <si>
    <t>Ambigüedad</t>
  </si>
  <si>
    <t>Mayor</t>
  </si>
  <si>
    <t>Anderson</t>
  </si>
  <si>
    <t>Se definieron condiciones verificables para activar RF-28: rutina vencida sin cumplimiento, EVA ≥ 7, Borg CR10 ≥ 7 o repeticiones incorrectas que alcancen el umbral configurado por el fisioterapeuta. También se precisó el registro de causa, paciente, fecha y hora.</t>
  </si>
  <si>
    <t>Menores</t>
  </si>
  <si>
    <t>D-02</t>
  </si>
  <si>
    <t>3.3 Requisitos no funcionales / p. 51</t>
  </si>
  <si>
    <t>RNF-07</t>
  </si>
  <si>
    <t>RNF-07 exige disponibilidad mínima del 95 %, pero no define la duración del periodo de pruebas, el número de comprobaciones ni la ventana de medición.</t>
  </si>
  <si>
    <t>Completitud</t>
  </si>
  <si>
    <t>RNF-07 se reformuló para medir disponibilidad mínima del 95 % por ventana de prueba declarada previamente, registrando inicio, fin y minutos de indisponibilidad, junto con la fórmula de cálculo.</t>
  </si>
  <si>
    <t>¿Cumple mínimo?</t>
  </si>
  <si>
    <t>D-03</t>
  </si>
  <si>
    <t>3.2 Requisitos funcionales / pp. 36 y 43</t>
  </si>
  <si>
    <t>RF-15</t>
  </si>
  <si>
    <t>RF-15 está priorizado como Must, pero depende de RF-06 y RF-07, que están priorizados como Should, generando inconsistencia entre prioridad y dependencias.</t>
  </si>
  <si>
    <t>Consistencia</t>
  </si>
  <si>
    <t>Se armonizó la priorización de dependencias de RF-15: RF-06 y RF-07 pasaron de Should a Must, manteniendo RF-15 como Must.</t>
  </si>
  <si>
    <t>D-04</t>
  </si>
  <si>
    <t>3.3 Requisitos no funcionales / p. 52</t>
  </si>
  <si>
    <t>RNF-11</t>
  </si>
  <si>
    <t>RNF-11 exige un «contraste adecuado», pero no establece relación de contraste, estándar o valor mínimo para verificar objetivamente el cumplimiento.</t>
  </si>
  <si>
    <t>Verificabilidad</t>
  </si>
  <si>
    <t>Menor</t>
  </si>
  <si>
    <t>RNF-11 se hizo verificable estableciendo relación de contraste mínima de 4.5:1 para texto normal y medición de contraste en la revisión de interfaz.</t>
  </si>
  <si>
    <t>D-05</t>
  </si>
  <si>
    <t>3.2, 6.2 y anexos / pp. 34-35, 96 y anexos</t>
  </si>
  <si>
    <t>Evidencias EV-* / EV2-*</t>
  </si>
  <si>
    <t>El documento utiliza códigos EV-* en requisitos y códigos EV2-* en evidencias actuales, sin una tabla de equivalencia explícita, dificultando la trazabilidad hacia la fuente vigente.</t>
  </si>
  <si>
    <t>Trazabilidad</t>
  </si>
  <si>
    <t>Se añadió una correspondencia explícita entre las fuentes históricas EV-* y las evidencias actuales EV2-*; se aclaró que EV-ENT-04 no constituye una fuente independiente válida.</t>
  </si>
  <si>
    <t>D-06</t>
  </si>
  <si>
    <t>2.5 y 3.3 / pp. 18 y 51</t>
  </si>
  <si>
    <t>RNF-03</t>
  </si>
  <si>
    <t>RNF-03 exige mínimo 15 FPS con cámara 720p, pero no define hardware de referencia o configuración mínima de procesamiento para evaluar de forma reproducible su factibilidad.</t>
  </si>
  <si>
    <t>Factibilidad</t>
  </si>
  <si>
    <t>RNF-03 se completó con un entorno de prueba reproducible: cámara 720p, iluminación controlada y registro de CPU, RAM, GPU si aplica, sistema operativo y navegador; además, medición en 10 ejecuciones.</t>
  </si>
  <si>
    <t>D-07</t>
  </si>
  <si>
    <t>3.2 Requisitos funcionales / pp. 44-45</t>
  </si>
  <si>
    <t>RF-19</t>
  </si>
  <si>
    <t>RF-19 está priorizado como Must y depende de RF-18, que está priorizado como Should, produciendo inconsistencia entre prioridad y dependencia.</t>
  </si>
  <si>
    <t>Se armonizó la dependencia de RF-19 elevando RF-18 de Should a Must, ya que la guía visual es previa al inicio de la sesión remota.</t>
  </si>
  <si>
    <t>D-08</t>
  </si>
  <si>
    <t>3.2.1 y 5.1 / pp. 34-35 y 81</t>
  </si>
  <si>
    <t>EV-ENT-04</t>
  </si>
  <si>
    <t>EV-ENT-04 se cita y se utiliza como fuente para RF-22, RF-23 y RF-24, pero no está definida en la Tabla 13 de fuentes de evidencia.</t>
  </si>
  <si>
    <t>Completitud / Trazabilidad</t>
  </si>
  <si>
    <t>Se eliminó EV-ENT-04 como fuente independiente y se dejó documentado que las fuentes históricas válidas son EV-ENT-01, EV-ENT-02, EV-ENT-03, EV-CUE-01 y EV-CONS-01.</t>
  </si>
  <si>
    <t>D-09</t>
  </si>
  <si>
    <t>RNF-10</t>
  </si>
  <si>
    <t>RNF-10 exige documentar el 100 % de los «módulos principales», pero no define cuáles módulos forman ese conjunto.</t>
  </si>
  <si>
    <t>Frixon</t>
  </si>
  <si>
    <t>RNF-10 ahora enumera los siete módulos principales que deben estar documentados y el método de verificación compara repositorio, carpetas y README contra esa lista.</t>
  </si>
  <si>
    <t>D-10</t>
  </si>
  <si>
    <t>3.3 Requisitos no funcionales / p. 50</t>
  </si>
  <si>
    <t>RNF-01</t>
  </si>
  <si>
    <t>RNF-01 fija que el 90 % de usuarios complete determinadas tareas en máximo 3 minutos, pero no define tamaño mínimo de muestra ni distribución entre perfiles de usuario.</t>
  </si>
  <si>
    <t>RNF-01 se completó con una muestra mínima de 10 usuarios: al menos 3 fisioterapeutas y 7 pacientes o expacientes, manteniendo el criterio del 90 % en máximo 3 minutos.</t>
  </si>
  <si>
    <t>D-11</t>
  </si>
  <si>
    <t>3.2 Requisitos funcionales / p. 46</t>
  </si>
  <si>
    <t>RF-24</t>
  </si>
  <si>
    <t>RF-24 está priorizado como Must y depende de RF-22, que está priorizado como Should, generando inconsistencia en la priorización de dependencias.</t>
  </si>
  <si>
    <t>Se armonizó la priorización de RF-24 elevando RF-22 de Should a Must, porque la detección de errores de postura es necesaria para rechazar repeticiones incorrectas.</t>
  </si>
  <si>
    <t>D-12</t>
  </si>
  <si>
    <t>3.2 Requisitos funcionales / p. 47</t>
  </si>
  <si>
    <t>RF-25</t>
  </si>
  <si>
    <t>El criterio de aceptación de RF-25 exige un «mensaje claro», pero no define una escala, prueba de comprensión o criterio objetivo para verificar la claridad.</t>
  </si>
  <si>
    <t>RF-25 se reformuló para activar retroalimentación ante error postural o repetición incorrecta y exigir que el mensaje incluya ejercicio, error detectado y corrección sugerida.</t>
  </si>
  <si>
    <t>D-13</t>
  </si>
  <si>
    <t>3.2 y 5.1 / pp. 36-37 y 81</t>
  </si>
  <si>
    <t>RF-22, RF-23 y RF-24</t>
  </si>
  <si>
    <t>RF-22, RF-23 y RF-24 aparecen con fuente EV-ENT-03 en sus fichas/resumen, pero con EV-ENT-04 en la clasificación de requisitos, rompiendo la trazabilidad uniforme.</t>
  </si>
  <si>
    <t>Trazabilidad / Consistencia</t>
  </si>
  <si>
    <t>Se armonizó la fuente de RF-22, RF-23 y RF-24 en la clasificación, sustituyendo EV-ENT-04 por EV-ENT-03 para que coincida con sus fichas detalladas.</t>
  </si>
  <si>
    <t>D-14</t>
  </si>
  <si>
    <t>3.2 Requisitos funcionales / p. 45</t>
  </si>
  <si>
    <t>RF-21</t>
  </si>
  <si>
    <t>RF-21 plantea analizar mediante IA si el movimiento corresponde al ejercicio asignado, pero no delimita qué ejercicios, movimientos o patrones debe reconocer el prototipo académico.</t>
  </si>
  <si>
    <t>RF-21 se acotó al conjunto de ejercicios del catálogo configurados como compatibles con análisis automático, delimitando el alcance técnico del prototipo de IA.</t>
  </si>
  <si>
    <t>D-15</t>
  </si>
  <si>
    <t>4.1 y 5.1 / pp. 57 y 80</t>
  </si>
  <si>
    <t>RF-14</t>
  </si>
  <si>
    <t>RF-14 aparece relacionado con CU-07 en la clasificación de requisitos, mientras que en la tabla de relación de casos de uso se incluye en CU-02, generando inconsistencia de trazabilidad.</t>
  </si>
  <si>
    <t>La clasificación de RF-14 se armonizó con la tabla de relación RF-CU, asociándolo a CU-02 para eliminar la contradicción con CU-07.</t>
  </si>
  <si>
    <t>D-16</t>
  </si>
  <si>
    <t>2.5 y 3.3 / pp. 18 y 52</t>
  </si>
  <si>
    <t>RNF-09</t>
  </si>
  <si>
    <t>El entorno operativo declara compatibilidad con Chrome, Edge y Firefox, pero RNF-09 verifica únicamente Chrome y Edge, por lo que la cobertura de compatibilidad no coincide entre secciones.</t>
  </si>
  <si>
    <t>RNF-09 se armonizó con el entorno operativo: la compatibilidad se verifica en Google Chrome, Microsoft Edge y Mozilla Firefox, en versiones actuales, y en al menos dos dispositivos con cámara.</t>
  </si>
  <si>
    <t>Estado posterior a Fagan: 16 defectos corregidos en la versión ERS/SRS 2A-Fagan-v3. Los 12 defectos Mayores fueron corregidos al 100%; también se atendieron los 4 defectos Menores.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</si>
</sst>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0B6B3A"/>
      <name val="Carlito"/>
    </font>
    <font>
      <b/>
      <sz val="11"/>
      <color rgb="FF7A5200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6B3A"/>
      </patternFill>
    </fill>
    <fill>
      <patternFill patternType="solid">
        <fgColor rgb="FFEAF4EE"/>
      </patternFill>
    </fill>
    <fill>
      <patternFill patternType="solid">
        <fgColor rgb="FFD6A300"/>
      </patternFill>
    </fill>
    <fill>
      <patternFill patternType="solid">
        <fgColor rgb="FFEAF4E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center" vertical="top" wrapText="1"/>
    </xf>
    <xf numFmtId="0" fontId="4" fillId="2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2" fillId="3" borderId="0" xfId="0" applyNumberFormat="1" applyFont="1" applyFill="1" applyBorder="1" applyAlignment="1">
      <alignment horizontal="center" vertical="top" wrapText="1"/>
    </xf>
    <xf numFmtId="0" fontId="2" fillId="5" borderId="0" xfId="0" applyNumberFormat="1" applyFont="1" applyFill="1" applyBorder="1" applyAlignment="1">
      <alignment horizontal="center" vertical="center" wrapText="1"/>
    </xf>
    <xf numFmtId="0" fontId="3" fillId="6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7" workbookViewId="0">
      <selection activeCell="C3" sqref="C3"/>
    </sheetView>
  </sheetViews>
  <sheetFormatPr baseColWidth="10" defaultColWidth="9" defaultRowHeight="14.25"/>
  <cols>
    <col min="1" max="1" width="9" customWidth="1"/>
    <col min="2" max="2" width="27" customWidth="1"/>
    <col min="3" max="3" width="22" customWidth="1"/>
    <col min="4" max="4" width="58" customWidth="1"/>
    <col min="5" max="5" width="23" customWidth="1"/>
    <col min="6" max="6" width="13" customWidth="1"/>
    <col min="7" max="7" width="18" customWidth="1"/>
    <col min="8" max="8" width="48" customWidth="1"/>
    <col min="10" max="10" width="34" customWidth="1"/>
    <col min="11" max="11" width="15" customWidth="1"/>
  </cols>
  <sheetData>
    <row r="1" spans="1:11" ht="18">
      <c r="A1" s="4" t="s">
        <v>0</v>
      </c>
      <c r="B1" s="4"/>
      <c r="C1" s="4"/>
      <c r="D1" s="4"/>
      <c r="E1" s="4"/>
      <c r="F1" s="4"/>
      <c r="G1" s="4"/>
      <c r="H1" s="4"/>
      <c r="I1" s="1"/>
      <c r="J1" s="1"/>
      <c r="K1" s="1"/>
    </row>
    <row r="2" spans="1:11" ht="15">
      <c r="A2" s="5" t="s">
        <v>1</v>
      </c>
      <c r="B2" s="5"/>
      <c r="C2" s="5"/>
      <c r="D2" s="5"/>
      <c r="E2" s="5"/>
      <c r="F2" s="5"/>
      <c r="G2" s="5"/>
      <c r="H2" s="5"/>
      <c r="I2" s="1"/>
      <c r="J2" s="2" t="s">
        <v>2</v>
      </c>
      <c r="K2" s="2" t="s">
        <v>3</v>
      </c>
    </row>
    <row r="3" spans="1:11" ht="15">
      <c r="A3" s="7"/>
      <c r="B3" s="7"/>
      <c r="C3" s="7"/>
      <c r="D3" s="7"/>
      <c r="E3" s="7"/>
      <c r="F3" s="7"/>
      <c r="G3" s="7"/>
      <c r="H3" s="7"/>
      <c r="I3" s="1"/>
      <c r="J3" s="1" t="s">
        <v>4</v>
      </c>
      <c r="K3" s="1">
        <f>COUNTIF(D6:D30,"&lt;&gt;")</f>
        <v>16</v>
      </c>
    </row>
    <row r="4" spans="1:11">
      <c r="A4" s="1"/>
      <c r="B4" s="1"/>
      <c r="C4" s="1"/>
      <c r="D4" s="1"/>
      <c r="E4" s="1"/>
      <c r="F4" s="1"/>
      <c r="G4" s="1"/>
      <c r="H4" s="1"/>
      <c r="I4" s="1"/>
      <c r="J4" s="1" t="s">
        <v>5</v>
      </c>
      <c r="K4" s="1">
        <f>COUNTIF(F6:F30,"Crítico")</f>
        <v>0</v>
      </c>
    </row>
    <row r="5" spans="1:11" ht="1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1"/>
      <c r="J5" s="1" t="s">
        <v>14</v>
      </c>
      <c r="K5" s="1">
        <f>COUNTIF(F6:F30,"Mayor")</f>
        <v>12</v>
      </c>
    </row>
    <row r="6" spans="1:11" ht="71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/>
      <c r="J6" s="1" t="s">
        <v>23</v>
      </c>
      <c r="K6" s="1">
        <f>COUNTIF(F6:F30,"Menor")</f>
        <v>4</v>
      </c>
    </row>
    <row r="7" spans="1:11" ht="5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20</v>
      </c>
      <c r="G7" s="1" t="s">
        <v>21</v>
      </c>
      <c r="H7" s="1" t="s">
        <v>29</v>
      </c>
      <c r="I7" s="1"/>
      <c r="J7" s="1" t="s">
        <v>30</v>
      </c>
      <c r="K7" s="1" t="str">
        <f>IF(AND(K3&gt;=15,K4+K5&gt;=3),"SÍ","NO")</f>
        <v>SÍ</v>
      </c>
    </row>
    <row r="8" spans="1:11" ht="42.75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20</v>
      </c>
      <c r="G8" s="1" t="s">
        <v>21</v>
      </c>
      <c r="H8" s="1" t="s">
        <v>36</v>
      </c>
      <c r="I8" s="1"/>
      <c r="J8" s="1"/>
      <c r="K8" s="1"/>
    </row>
    <row r="9" spans="1:11" ht="42.75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21</v>
      </c>
      <c r="H9" s="1" t="s">
        <v>43</v>
      </c>
      <c r="I9" s="1"/>
      <c r="J9" s="1"/>
      <c r="K9" s="1"/>
    </row>
    <row r="10" spans="1:11" ht="57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20</v>
      </c>
      <c r="G10" s="1" t="s">
        <v>21</v>
      </c>
      <c r="H10" s="1" t="s">
        <v>49</v>
      </c>
      <c r="I10" s="1"/>
      <c r="J10" s="1"/>
      <c r="K10" s="1"/>
    </row>
    <row r="11" spans="1:11" ht="57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20</v>
      </c>
      <c r="G11" s="1" t="s">
        <v>21</v>
      </c>
      <c r="H11" s="1" t="s">
        <v>55</v>
      </c>
      <c r="I11" s="1"/>
      <c r="J11" s="1"/>
      <c r="K11" s="1"/>
    </row>
    <row r="12" spans="1:11" ht="42.7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35</v>
      </c>
      <c r="F12" s="1" t="s">
        <v>20</v>
      </c>
      <c r="G12" s="1" t="s">
        <v>21</v>
      </c>
      <c r="H12" s="1" t="s">
        <v>60</v>
      </c>
      <c r="I12" s="1"/>
      <c r="J12" s="1"/>
      <c r="K12" s="1"/>
    </row>
    <row r="13" spans="1:11" ht="57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20</v>
      </c>
      <c r="G13" s="1" t="s">
        <v>21</v>
      </c>
      <c r="H13" s="1" t="s">
        <v>66</v>
      </c>
      <c r="I13" s="1"/>
      <c r="J13" s="1"/>
      <c r="K13" s="1"/>
    </row>
    <row r="14" spans="1:11" ht="57">
      <c r="A14" s="1" t="s">
        <v>67</v>
      </c>
      <c r="B14" s="1" t="s">
        <v>38</v>
      </c>
      <c r="C14" s="1" t="s">
        <v>68</v>
      </c>
      <c r="D14" s="1" t="s">
        <v>69</v>
      </c>
      <c r="E14" s="1" t="s">
        <v>19</v>
      </c>
      <c r="F14" s="1" t="s">
        <v>42</v>
      </c>
      <c r="G14" s="1" t="s">
        <v>70</v>
      </c>
      <c r="H14" s="1" t="s">
        <v>71</v>
      </c>
      <c r="I14" s="1"/>
      <c r="J14" s="1"/>
      <c r="K14" s="1"/>
    </row>
    <row r="15" spans="1:11" ht="57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28</v>
      </c>
      <c r="F15" s="1" t="s">
        <v>20</v>
      </c>
      <c r="G15" s="1" t="s">
        <v>70</v>
      </c>
      <c r="H15" s="1" t="s">
        <v>76</v>
      </c>
      <c r="I15" s="1"/>
      <c r="J15" s="1"/>
      <c r="K15" s="1"/>
    </row>
    <row r="16" spans="1:11" ht="57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35</v>
      </c>
      <c r="F16" s="1" t="s">
        <v>20</v>
      </c>
      <c r="G16" s="1" t="s">
        <v>70</v>
      </c>
      <c r="H16" s="1" t="s">
        <v>81</v>
      </c>
      <c r="I16" s="1"/>
      <c r="J16" s="1"/>
      <c r="K16" s="1"/>
    </row>
    <row r="17" spans="1:11" ht="57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41</v>
      </c>
      <c r="F17" s="1" t="s">
        <v>42</v>
      </c>
      <c r="G17" s="1" t="s">
        <v>70</v>
      </c>
      <c r="H17" s="1" t="s">
        <v>86</v>
      </c>
      <c r="I17" s="1"/>
      <c r="J17" s="1"/>
      <c r="K17" s="1"/>
    </row>
    <row r="18" spans="1:11" ht="42.7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20</v>
      </c>
      <c r="G18" s="1" t="s">
        <v>70</v>
      </c>
      <c r="H18" s="1" t="s">
        <v>92</v>
      </c>
      <c r="I18" s="1"/>
      <c r="J18" s="1"/>
      <c r="K18" s="1"/>
    </row>
    <row r="19" spans="1:11" ht="42.75">
      <c r="A19" s="1" t="s">
        <v>93</v>
      </c>
      <c r="B19" s="1" t="s">
        <v>94</v>
      </c>
      <c r="C19" s="1" t="s">
        <v>95</v>
      </c>
      <c r="D19" s="1" t="s">
        <v>96</v>
      </c>
      <c r="E19" s="1" t="s">
        <v>54</v>
      </c>
      <c r="F19" s="1" t="s">
        <v>20</v>
      </c>
      <c r="G19" s="1" t="s">
        <v>70</v>
      </c>
      <c r="H19" s="1" t="s">
        <v>97</v>
      </c>
      <c r="I19" s="1"/>
      <c r="J19" s="1"/>
      <c r="K19" s="1"/>
    </row>
    <row r="20" spans="1:11" ht="42.75">
      <c r="A20" s="1" t="s">
        <v>98</v>
      </c>
      <c r="B20" s="1" t="s">
        <v>99</v>
      </c>
      <c r="C20" s="1" t="s">
        <v>100</v>
      </c>
      <c r="D20" s="1" t="s">
        <v>101</v>
      </c>
      <c r="E20" s="1" t="s">
        <v>91</v>
      </c>
      <c r="F20" s="1" t="s">
        <v>20</v>
      </c>
      <c r="G20" s="1" t="s">
        <v>70</v>
      </c>
      <c r="H20" s="1" t="s">
        <v>102</v>
      </c>
      <c r="I20" s="1"/>
      <c r="J20" s="1"/>
      <c r="K20" s="1"/>
    </row>
    <row r="21" spans="1:11" ht="57">
      <c r="A21" s="1" t="s">
        <v>103</v>
      </c>
      <c r="B21" s="1" t="s">
        <v>104</v>
      </c>
      <c r="C21" s="1" t="s">
        <v>105</v>
      </c>
      <c r="D21" s="1" t="s">
        <v>106</v>
      </c>
      <c r="E21" s="1" t="s">
        <v>35</v>
      </c>
      <c r="F21" s="1" t="s">
        <v>42</v>
      </c>
      <c r="G21" s="1" t="s">
        <v>70</v>
      </c>
      <c r="H21" s="1" t="s">
        <v>107</v>
      </c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2" spans="1:11" ht="15">
      <c r="A32" s="6" t="s">
        <v>108</v>
      </c>
      <c r="B32" s="6"/>
      <c r="C32" s="6"/>
      <c r="D32" s="6"/>
      <c r="E32" s="6"/>
      <c r="F32" s="6"/>
      <c r="G32" s="6"/>
      <c r="H32" s="6"/>
    </row>
  </sheetData>
  <mergeCells count="3">
    <mergeCell ref="A1:H1"/>
    <mergeCell ref="A2:H2"/>
    <mergeCell ref="A32:H32"/>
  </mergeCells>
  <dataValidations count="3">
    <dataValidation type="list" sqref="E6:E30" xr:uid="{00000000-0002-0000-0000-000000000000}">
      <formula1>"Ambigüedad,Completitud,Consistencia,Verificabilidad,Trazabilidad,Factibilidad,Otro"</formula1>
    </dataValidation>
    <dataValidation type="list" sqref="F6:F30" xr:uid="{00000000-0002-0000-0000-000001000000}">
      <formula1>"Crítico,Mayor,Menor"</formula1>
    </dataValidation>
    <dataValidation type="list" sqref="G6:G30" xr:uid="{00000000-0002-0000-0000-000002000000}">
      <formula1>"Anderson,Frixon,Anderson y Frixon,Reunión"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 Zambrano</cp:lastModifiedBy>
  <dcterms:modified xsi:type="dcterms:W3CDTF">2026-08-09T23:50:17Z</dcterms:modified>
</cp:coreProperties>
</file>